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7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<sst xmlns="http://schemas.openxmlformats.org/spreadsheetml/2006/main" count="103" uniqueCount="26">
  <si>
    <t>S.No</t>
  </si>
  <si>
    <t>Product</t>
  </si>
  <si>
    <t>Expense</t>
  </si>
  <si>
    <t>Rate</t>
  </si>
  <si>
    <t>Total</t>
  </si>
  <si>
    <t>Selling Rate</t>
  </si>
  <si>
    <t>Profit</t>
  </si>
  <si>
    <t>Regular T Shirt ( S to XXL)</t>
  </si>
  <si>
    <t>T Shirt</t>
  </si>
  <si>
    <t>Logitics</t>
  </si>
  <si>
    <t>DTF Printing (Single side including neck label)</t>
  </si>
  <si>
    <t>Heating</t>
  </si>
  <si>
    <t>Current Charges</t>
  </si>
  <si>
    <t>Zip Cover</t>
  </si>
  <si>
    <t>Courier Cover</t>
  </si>
  <si>
    <t>T Shirt Tag</t>
  </si>
  <si>
    <t>Thank you card</t>
  </si>
  <si>
    <t>Invoice Bill</t>
  </si>
  <si>
    <t>Courier Charges</t>
  </si>
  <si>
    <t>Regular T Shirt ( XXXL)</t>
  </si>
  <si>
    <t>Oversized T Shirt ( S to XXL)</t>
  </si>
  <si>
    <t>Oversized T Shirt (XXXL)</t>
  </si>
  <si>
    <t>Acid Washed T Shirt (S to XXL)</t>
  </si>
  <si>
    <t>Acid Washed T Shirt (XXXL)</t>
  </si>
  <si>
    <t>Hoodie (S to XXL)</t>
  </si>
  <si>
    <t>Hoodie (XXXL)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</si>
</sst>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91"/>
  <sheetViews>
    <sheetView tabSelected="1" workbookViewId="0">
      <selection activeCell="C11" sqref="C11"/>
    </sheetView>
  </sheetViews>
  <sheetFormatPr defaultColWidth="8.88888888888889" defaultRowHeight="14.4" outlineLevelCol="6"/>
  <cols>
    <col min="2" max="2" width="27.6666666666667" customWidth="1"/>
    <col min="3" max="3" width="40.7777777777778" customWidth="1"/>
    <col min="6" max="6" width="11.5555555555556" customWidth="1"/>
  </cols>
  <sheetData>
    <row r="3" spans="1:7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>
      <c r="A4" s="2">
        <v>1</v>
      </c>
      <c r="B4" s="2" t="s">
        <v>7</v>
      </c>
      <c r="C4" s="3" t="s">
        <v>8</v>
      </c>
      <c r="D4" s="3">
        <v>180</v>
      </c>
      <c r="E4" s="2">
        <f xml:space="preserve">SUM(D4:D14)</f>
        <v>370</v>
      </c>
      <c r="F4" s="2">
        <f xml:space="preserve">600</f>
        <v>600</v>
      </c>
      <c r="G4" s="2">
        <f xml:space="preserve">F4-E4</f>
        <v>230</v>
      </c>
    </row>
    <row r="5" spans="1:7">
      <c r="A5" s="2"/>
      <c r="B5" s="2"/>
      <c r="C5" s="3" t="s">
        <v>9</v>
      </c>
      <c r="D5" s="3">
        <v>5</v>
      </c>
      <c r="E5" s="2"/>
      <c r="F5" s="2"/>
      <c r="G5" s="2"/>
    </row>
    <row r="6" spans="1:7">
      <c r="A6" s="2"/>
      <c r="B6" s="2"/>
      <c r="C6" s="3" t="s">
        <v>10</v>
      </c>
      <c r="D6" s="4">
        <v>40</v>
      </c>
      <c r="E6" s="2"/>
      <c r="F6" s="2"/>
      <c r="G6" s="2"/>
    </row>
    <row r="7" spans="1:7">
      <c r="A7" s="2"/>
      <c r="B7" s="2"/>
      <c r="C7" s="3" t="s">
        <v>11</v>
      </c>
      <c r="D7" s="3">
        <v>10</v>
      </c>
      <c r="E7" s="2"/>
      <c r="F7" s="2"/>
      <c r="G7" s="2"/>
    </row>
    <row r="8" spans="1:7">
      <c r="A8" s="2"/>
      <c r="B8" s="2"/>
      <c r="C8" s="3" t="s">
        <v>12</v>
      </c>
      <c r="D8" s="3">
        <v>10</v>
      </c>
      <c r="E8" s="2"/>
      <c r="F8" s="2"/>
      <c r="G8" s="2"/>
    </row>
    <row r="9" spans="1:7">
      <c r="A9" s="2"/>
      <c r="B9" s="2"/>
      <c r="C9" s="3" t="s">
        <v>13</v>
      </c>
      <c r="D9" s="3">
        <v>5</v>
      </c>
      <c r="E9" s="2"/>
      <c r="F9" s="2"/>
      <c r="G9" s="2"/>
    </row>
    <row r="10" spans="1:7">
      <c r="A10" s="2"/>
      <c r="B10" s="2"/>
      <c r="C10" s="3" t="s">
        <v>14</v>
      </c>
      <c r="D10" s="3">
        <v>5</v>
      </c>
      <c r="E10" s="2"/>
      <c r="F10" s="2"/>
      <c r="G10" s="2"/>
    </row>
    <row r="11" spans="1:7">
      <c r="A11" s="2"/>
      <c r="B11" s="2"/>
      <c r="C11" s="3" t="s">
        <v>15</v>
      </c>
      <c r="D11" s="3">
        <v>5</v>
      </c>
      <c r="E11" s="2"/>
      <c r="F11" s="2"/>
      <c r="G11" s="2"/>
    </row>
    <row r="12" spans="1:7">
      <c r="A12" s="2"/>
      <c r="B12" s="2"/>
      <c r="C12" s="3" t="s">
        <v>16</v>
      </c>
      <c r="D12" s="3">
        <v>5</v>
      </c>
      <c r="E12" s="2"/>
      <c r="F12" s="2"/>
      <c r="G12" s="2"/>
    </row>
    <row r="13" spans="1:7">
      <c r="A13" s="2"/>
      <c r="B13" s="2"/>
      <c r="C13" s="3" t="s">
        <v>17</v>
      </c>
      <c r="D13" s="3">
        <v>5</v>
      </c>
      <c r="E13" s="2"/>
      <c r="F13" s="2"/>
      <c r="G13" s="2"/>
    </row>
    <row r="14" spans="1:7">
      <c r="A14" s="2"/>
      <c r="B14" s="2"/>
      <c r="C14" s="3" t="s">
        <v>18</v>
      </c>
      <c r="D14" s="3">
        <v>100</v>
      </c>
      <c r="E14" s="2"/>
      <c r="F14" s="2"/>
      <c r="G14" s="2"/>
    </row>
    <row r="15" spans="1:7">
      <c r="A15" s="2">
        <v>2</v>
      </c>
      <c r="B15" s="2" t="s">
        <v>19</v>
      </c>
      <c r="C15" s="3" t="s">
        <v>8</v>
      </c>
      <c r="D15" s="3">
        <v>225</v>
      </c>
      <c r="E15" s="2">
        <f xml:space="preserve">SUM(D15:D25)</f>
        <v>415</v>
      </c>
      <c r="F15" s="2">
        <f xml:space="preserve">645</f>
        <v>645</v>
      </c>
      <c r="G15" s="2">
        <f xml:space="preserve">F15-E15</f>
        <v>230</v>
      </c>
    </row>
    <row r="16" spans="1:7">
      <c r="A16" s="2"/>
      <c r="B16" s="2"/>
      <c r="C16" s="3" t="s">
        <v>9</v>
      </c>
      <c r="D16" s="3">
        <v>5</v>
      </c>
      <c r="E16" s="2"/>
      <c r="F16" s="2"/>
      <c r="G16" s="2"/>
    </row>
    <row r="17" spans="1:7">
      <c r="A17" s="2"/>
      <c r="B17" s="2"/>
      <c r="C17" s="3" t="s">
        <v>10</v>
      </c>
      <c r="D17" s="4">
        <v>40</v>
      </c>
      <c r="E17" s="2"/>
      <c r="F17" s="2"/>
      <c r="G17" s="2"/>
    </row>
    <row r="18" spans="1:7">
      <c r="A18" s="2"/>
      <c r="B18" s="2"/>
      <c r="C18" s="3" t="s">
        <v>11</v>
      </c>
      <c r="D18" s="3">
        <v>10</v>
      </c>
      <c r="E18" s="2"/>
      <c r="F18" s="2"/>
      <c r="G18" s="2"/>
    </row>
    <row r="19" spans="1:7">
      <c r="A19" s="2"/>
      <c r="B19" s="2"/>
      <c r="C19" s="3" t="s">
        <v>12</v>
      </c>
      <c r="D19" s="3">
        <v>10</v>
      </c>
      <c r="E19" s="2"/>
      <c r="F19" s="2"/>
      <c r="G19" s="2"/>
    </row>
    <row r="20" spans="1:7">
      <c r="A20" s="2"/>
      <c r="B20" s="2"/>
      <c r="C20" s="3" t="s">
        <v>13</v>
      </c>
      <c r="D20" s="3">
        <v>5</v>
      </c>
      <c r="E20" s="2"/>
      <c r="F20" s="2"/>
      <c r="G20" s="2"/>
    </row>
    <row r="21" spans="1:7">
      <c r="A21" s="2"/>
      <c r="B21" s="2"/>
      <c r="C21" s="3" t="s">
        <v>14</v>
      </c>
      <c r="D21" s="3">
        <v>5</v>
      </c>
      <c r="E21" s="2"/>
      <c r="F21" s="2"/>
      <c r="G21" s="2"/>
    </row>
    <row r="22" spans="1:7">
      <c r="A22" s="2"/>
      <c r="B22" s="2"/>
      <c r="C22" s="3" t="s">
        <v>15</v>
      </c>
      <c r="D22" s="3">
        <v>5</v>
      </c>
      <c r="E22" s="2"/>
      <c r="F22" s="2"/>
      <c r="G22" s="2"/>
    </row>
    <row r="23" spans="1:7">
      <c r="A23" s="2"/>
      <c r="B23" s="2"/>
      <c r="C23" s="3" t="s">
        <v>16</v>
      </c>
      <c r="D23" s="3">
        <v>5</v>
      </c>
      <c r="E23" s="2"/>
      <c r="F23" s="2"/>
      <c r="G23" s="2"/>
    </row>
    <row r="24" spans="1:7">
      <c r="A24" s="2"/>
      <c r="B24" s="2"/>
      <c r="C24" s="3" t="s">
        <v>17</v>
      </c>
      <c r="D24" s="3">
        <v>5</v>
      </c>
      <c r="E24" s="2"/>
      <c r="F24" s="2"/>
      <c r="G24" s="2"/>
    </row>
    <row r="25" spans="1:7">
      <c r="A25" s="2"/>
      <c r="B25" s="2"/>
      <c r="C25" s="3" t="s">
        <v>18</v>
      </c>
      <c r="D25" s="3">
        <v>100</v>
      </c>
      <c r="E25" s="2"/>
      <c r="F25" s="2"/>
      <c r="G25" s="2"/>
    </row>
    <row r="26" spans="1:7">
      <c r="A26" s="2">
        <v>3</v>
      </c>
      <c r="B26" s="2" t="s">
        <v>20</v>
      </c>
      <c r="C26" s="3" t="s">
        <v>8</v>
      </c>
      <c r="D26" s="3">
        <v>250</v>
      </c>
      <c r="E26" s="2">
        <f xml:space="preserve">SUM(D26:D36)</f>
        <v>440</v>
      </c>
      <c r="F26" s="2">
        <f xml:space="preserve">670</f>
        <v>670</v>
      </c>
      <c r="G26" s="2">
        <f xml:space="preserve">F26-E26</f>
        <v>230</v>
      </c>
    </row>
    <row r="27" spans="1:7">
      <c r="A27" s="2"/>
      <c r="B27" s="2"/>
      <c r="C27" s="3" t="s">
        <v>9</v>
      </c>
      <c r="D27" s="3">
        <v>5</v>
      </c>
      <c r="E27" s="2"/>
      <c r="F27" s="2"/>
      <c r="G27" s="2"/>
    </row>
    <row r="28" spans="1:7">
      <c r="A28" s="2"/>
      <c r="B28" s="2"/>
      <c r="C28" s="3" t="s">
        <v>10</v>
      </c>
      <c r="D28" s="4">
        <v>40</v>
      </c>
      <c r="E28" s="2"/>
      <c r="F28" s="2"/>
      <c r="G28" s="2"/>
    </row>
    <row r="29" spans="1:7">
      <c r="A29" s="2"/>
      <c r="B29" s="2"/>
      <c r="C29" s="3" t="s">
        <v>11</v>
      </c>
      <c r="D29" s="3">
        <v>10</v>
      </c>
      <c r="E29" s="2"/>
      <c r="F29" s="2"/>
      <c r="G29" s="2"/>
    </row>
    <row r="30" spans="1:7">
      <c r="A30" s="2"/>
      <c r="B30" s="2"/>
      <c r="C30" s="3" t="s">
        <v>12</v>
      </c>
      <c r="D30" s="3">
        <v>10</v>
      </c>
      <c r="E30" s="2"/>
      <c r="F30" s="2"/>
      <c r="G30" s="2"/>
    </row>
    <row r="31" spans="1:7">
      <c r="A31" s="2"/>
      <c r="B31" s="2"/>
      <c r="C31" s="3" t="s">
        <v>13</v>
      </c>
      <c r="D31" s="3">
        <v>5</v>
      </c>
      <c r="E31" s="2"/>
      <c r="F31" s="2"/>
      <c r="G31" s="2"/>
    </row>
    <row r="32" spans="1:7">
      <c r="A32" s="2"/>
      <c r="B32" s="2"/>
      <c r="C32" s="3" t="s">
        <v>14</v>
      </c>
      <c r="D32" s="3">
        <v>5</v>
      </c>
      <c r="E32" s="2"/>
      <c r="F32" s="2"/>
      <c r="G32" s="2"/>
    </row>
    <row r="33" spans="1:7">
      <c r="A33" s="2"/>
      <c r="B33" s="2"/>
      <c r="C33" s="3" t="s">
        <v>15</v>
      </c>
      <c r="D33" s="3">
        <v>5</v>
      </c>
      <c r="E33" s="2"/>
      <c r="F33" s="2"/>
      <c r="G33" s="2"/>
    </row>
    <row r="34" spans="1:7">
      <c r="A34" s="2"/>
      <c r="B34" s="2"/>
      <c r="C34" s="3" t="s">
        <v>16</v>
      </c>
      <c r="D34" s="3">
        <v>5</v>
      </c>
      <c r="E34" s="2"/>
      <c r="F34" s="2"/>
      <c r="G34" s="2"/>
    </row>
    <row r="35" spans="1:7">
      <c r="A35" s="2"/>
      <c r="B35" s="2"/>
      <c r="C35" s="3" t="s">
        <v>17</v>
      </c>
      <c r="D35" s="3">
        <v>5</v>
      </c>
      <c r="E35" s="2"/>
      <c r="F35" s="2"/>
      <c r="G35" s="2"/>
    </row>
    <row r="36" spans="1:7">
      <c r="A36" s="2"/>
      <c r="B36" s="2"/>
      <c r="C36" s="3" t="s">
        <v>18</v>
      </c>
      <c r="D36" s="3">
        <v>100</v>
      </c>
      <c r="E36" s="2"/>
      <c r="F36" s="2"/>
      <c r="G36" s="2"/>
    </row>
    <row r="37" spans="1:7">
      <c r="A37" s="2">
        <v>4</v>
      </c>
      <c r="B37" s="2" t="s">
        <v>21</v>
      </c>
      <c r="C37" s="3" t="s">
        <v>8</v>
      </c>
      <c r="D37" s="3">
        <v>290</v>
      </c>
      <c r="E37" s="2">
        <f xml:space="preserve">SUM(D37:D47)</f>
        <v>480</v>
      </c>
      <c r="F37" s="2">
        <f xml:space="preserve">699</f>
        <v>699</v>
      </c>
      <c r="G37" s="2">
        <f xml:space="preserve">F37-E37</f>
        <v>219</v>
      </c>
    </row>
    <row r="38" spans="1:7">
      <c r="A38" s="2"/>
      <c r="B38" s="2"/>
      <c r="C38" s="3" t="s">
        <v>9</v>
      </c>
      <c r="D38" s="3">
        <v>5</v>
      </c>
      <c r="E38" s="2"/>
      <c r="F38" s="2"/>
      <c r="G38" s="2"/>
    </row>
    <row r="39" spans="1:7">
      <c r="A39" s="2"/>
      <c r="B39" s="2"/>
      <c r="C39" s="3" t="s">
        <v>10</v>
      </c>
      <c r="D39" s="4">
        <v>40</v>
      </c>
      <c r="E39" s="2"/>
      <c r="F39" s="2"/>
      <c r="G39" s="2"/>
    </row>
    <row r="40" spans="1:7">
      <c r="A40" s="2"/>
      <c r="B40" s="2"/>
      <c r="C40" s="3" t="s">
        <v>11</v>
      </c>
      <c r="D40" s="3">
        <v>10</v>
      </c>
      <c r="E40" s="2"/>
      <c r="F40" s="2"/>
      <c r="G40" s="2"/>
    </row>
    <row r="41" spans="1:7">
      <c r="A41" s="2"/>
      <c r="B41" s="2"/>
      <c r="C41" s="3" t="s">
        <v>12</v>
      </c>
      <c r="D41" s="3">
        <v>10</v>
      </c>
      <c r="E41" s="2"/>
      <c r="F41" s="2"/>
      <c r="G41" s="2"/>
    </row>
    <row r="42" spans="1:7">
      <c r="A42" s="2"/>
      <c r="B42" s="2"/>
      <c r="C42" s="3" t="s">
        <v>13</v>
      </c>
      <c r="D42" s="3">
        <v>5</v>
      </c>
      <c r="E42" s="2"/>
      <c r="F42" s="2"/>
      <c r="G42" s="2"/>
    </row>
    <row r="43" spans="1:7">
      <c r="A43" s="2"/>
      <c r="B43" s="2"/>
      <c r="C43" s="3" t="s">
        <v>14</v>
      </c>
      <c r="D43" s="3">
        <v>5</v>
      </c>
      <c r="E43" s="2"/>
      <c r="F43" s="2"/>
      <c r="G43" s="2"/>
    </row>
    <row r="44" spans="1:7">
      <c r="A44" s="2"/>
      <c r="B44" s="2"/>
      <c r="C44" s="3" t="s">
        <v>15</v>
      </c>
      <c r="D44" s="3">
        <v>5</v>
      </c>
      <c r="E44" s="2"/>
      <c r="F44" s="2"/>
      <c r="G44" s="2"/>
    </row>
    <row r="45" spans="1:7">
      <c r="A45" s="2"/>
      <c r="B45" s="2"/>
      <c r="C45" s="3" t="s">
        <v>16</v>
      </c>
      <c r="D45" s="3">
        <v>5</v>
      </c>
      <c r="E45" s="2"/>
      <c r="F45" s="2"/>
      <c r="G45" s="2"/>
    </row>
    <row r="46" spans="1:7">
      <c r="A46" s="2"/>
      <c r="B46" s="2"/>
      <c r="C46" s="3" t="s">
        <v>17</v>
      </c>
      <c r="D46" s="3">
        <v>5</v>
      </c>
      <c r="E46" s="2"/>
      <c r="F46" s="2"/>
      <c r="G46" s="2"/>
    </row>
    <row r="47" spans="1:7">
      <c r="A47" s="2"/>
      <c r="B47" s="2"/>
      <c r="C47" s="3" t="s">
        <v>18</v>
      </c>
      <c r="D47" s="3">
        <v>100</v>
      </c>
      <c r="E47" s="2"/>
      <c r="F47" s="2"/>
      <c r="G47" s="2"/>
    </row>
    <row r="48" spans="1:7">
      <c r="A48" s="2">
        <v>5</v>
      </c>
      <c r="B48" s="2" t="s">
        <v>22</v>
      </c>
      <c r="C48" s="3" t="s">
        <v>8</v>
      </c>
      <c r="D48" s="3">
        <v>285</v>
      </c>
      <c r="E48" s="2">
        <f xml:space="preserve">SUM(D48:D58)</f>
        <v>475</v>
      </c>
      <c r="F48" s="2">
        <f xml:space="preserve">699</f>
        <v>699</v>
      </c>
      <c r="G48" s="2">
        <f xml:space="preserve">F48-E48</f>
        <v>224</v>
      </c>
    </row>
    <row r="49" spans="1:7">
      <c r="A49" s="2"/>
      <c r="B49" s="2"/>
      <c r="C49" s="3" t="s">
        <v>9</v>
      </c>
      <c r="D49" s="3">
        <v>5</v>
      </c>
      <c r="E49" s="2"/>
      <c r="F49" s="2"/>
      <c r="G49" s="2"/>
    </row>
    <row r="50" spans="1:7">
      <c r="A50" s="2"/>
      <c r="B50" s="2"/>
      <c r="C50" s="3" t="s">
        <v>10</v>
      </c>
      <c r="D50" s="4">
        <v>40</v>
      </c>
      <c r="E50" s="2"/>
      <c r="F50" s="2"/>
      <c r="G50" s="2"/>
    </row>
    <row r="51" spans="1:7">
      <c r="A51" s="2"/>
      <c r="B51" s="2"/>
      <c r="C51" s="3" t="s">
        <v>11</v>
      </c>
      <c r="D51" s="3">
        <v>10</v>
      </c>
      <c r="E51" s="2"/>
      <c r="F51" s="2"/>
      <c r="G51" s="2"/>
    </row>
    <row r="52" spans="1:7">
      <c r="A52" s="2"/>
      <c r="B52" s="2"/>
      <c r="C52" s="3" t="s">
        <v>12</v>
      </c>
      <c r="D52" s="3">
        <v>10</v>
      </c>
      <c r="E52" s="2"/>
      <c r="F52" s="2"/>
      <c r="G52" s="2"/>
    </row>
    <row r="53" spans="1:7">
      <c r="A53" s="2"/>
      <c r="B53" s="2"/>
      <c r="C53" s="3" t="s">
        <v>13</v>
      </c>
      <c r="D53" s="3">
        <v>5</v>
      </c>
      <c r="E53" s="2"/>
      <c r="F53" s="2"/>
      <c r="G53" s="2"/>
    </row>
    <row r="54" spans="1:7">
      <c r="A54" s="2"/>
      <c r="B54" s="2"/>
      <c r="C54" s="3" t="s">
        <v>14</v>
      </c>
      <c r="D54" s="3">
        <v>5</v>
      </c>
      <c r="E54" s="2"/>
      <c r="F54" s="2"/>
      <c r="G54" s="2"/>
    </row>
    <row r="55" spans="1:7">
      <c r="A55" s="2"/>
      <c r="B55" s="2"/>
      <c r="C55" s="3" t="s">
        <v>15</v>
      </c>
      <c r="D55" s="3">
        <v>5</v>
      </c>
      <c r="E55" s="2"/>
      <c r="F55" s="2"/>
      <c r="G55" s="2"/>
    </row>
    <row r="56" spans="1:7">
      <c r="A56" s="2"/>
      <c r="B56" s="2"/>
      <c r="C56" s="3" t="s">
        <v>16</v>
      </c>
      <c r="D56" s="3">
        <v>5</v>
      </c>
      <c r="E56" s="2"/>
      <c r="F56" s="2"/>
      <c r="G56" s="2"/>
    </row>
    <row r="57" spans="1:7">
      <c r="A57" s="2"/>
      <c r="B57" s="2"/>
      <c r="C57" s="3" t="s">
        <v>17</v>
      </c>
      <c r="D57" s="3">
        <v>5</v>
      </c>
      <c r="E57" s="2"/>
      <c r="F57" s="2"/>
      <c r="G57" s="2"/>
    </row>
    <row r="58" spans="1:7">
      <c r="A58" s="2"/>
      <c r="B58" s="2"/>
      <c r="C58" s="3" t="s">
        <v>18</v>
      </c>
      <c r="D58" s="3">
        <v>100</v>
      </c>
      <c r="E58" s="2"/>
      <c r="F58" s="2"/>
      <c r="G58" s="2"/>
    </row>
    <row r="59" spans="1:7">
      <c r="A59" s="2">
        <v>6</v>
      </c>
      <c r="B59" s="2" t="s">
        <v>23</v>
      </c>
      <c r="C59" s="3" t="s">
        <v>8</v>
      </c>
      <c r="D59" s="3">
        <v>325</v>
      </c>
      <c r="E59" s="2">
        <f xml:space="preserve">SUM(D59:D69)</f>
        <v>515</v>
      </c>
      <c r="F59" s="2">
        <f xml:space="preserve">720</f>
        <v>720</v>
      </c>
      <c r="G59" s="2">
        <f xml:space="preserve">F59-E59</f>
        <v>205</v>
      </c>
    </row>
    <row r="60" spans="1:7">
      <c r="A60" s="2"/>
      <c r="B60" s="2"/>
      <c r="C60" s="3" t="s">
        <v>9</v>
      </c>
      <c r="D60" s="3">
        <v>5</v>
      </c>
      <c r="E60" s="2"/>
      <c r="F60" s="2"/>
      <c r="G60" s="2"/>
    </row>
    <row r="61" spans="1:7">
      <c r="A61" s="2"/>
      <c r="B61" s="2"/>
      <c r="C61" s="3" t="s">
        <v>10</v>
      </c>
      <c r="D61" s="4">
        <v>40</v>
      </c>
      <c r="E61" s="2"/>
      <c r="F61" s="2"/>
      <c r="G61" s="2"/>
    </row>
    <row r="62" spans="1:7">
      <c r="A62" s="2"/>
      <c r="B62" s="2"/>
      <c r="C62" s="3" t="s">
        <v>11</v>
      </c>
      <c r="D62" s="3">
        <v>10</v>
      </c>
      <c r="E62" s="2"/>
      <c r="F62" s="2"/>
      <c r="G62" s="2"/>
    </row>
    <row r="63" spans="1:7">
      <c r="A63" s="2"/>
      <c r="B63" s="2"/>
      <c r="C63" s="3" t="s">
        <v>12</v>
      </c>
      <c r="D63" s="3">
        <v>10</v>
      </c>
      <c r="E63" s="2"/>
      <c r="F63" s="2"/>
      <c r="G63" s="2"/>
    </row>
    <row r="64" spans="1:7">
      <c r="A64" s="2"/>
      <c r="B64" s="2"/>
      <c r="C64" s="3" t="s">
        <v>13</v>
      </c>
      <c r="D64" s="3">
        <v>5</v>
      </c>
      <c r="E64" s="2"/>
      <c r="F64" s="2"/>
      <c r="G64" s="2"/>
    </row>
    <row r="65" spans="1:7">
      <c r="A65" s="2"/>
      <c r="B65" s="2"/>
      <c r="C65" s="3" t="s">
        <v>14</v>
      </c>
      <c r="D65" s="3">
        <v>5</v>
      </c>
      <c r="E65" s="2"/>
      <c r="F65" s="2"/>
      <c r="G65" s="2"/>
    </row>
    <row r="66" spans="1:7">
      <c r="A66" s="2"/>
      <c r="B66" s="2"/>
      <c r="C66" s="3" t="s">
        <v>15</v>
      </c>
      <c r="D66" s="3">
        <v>5</v>
      </c>
      <c r="E66" s="2"/>
      <c r="F66" s="2"/>
      <c r="G66" s="2"/>
    </row>
    <row r="67" spans="1:7">
      <c r="A67" s="2"/>
      <c r="B67" s="2"/>
      <c r="C67" s="3" t="s">
        <v>16</v>
      </c>
      <c r="D67" s="3">
        <v>5</v>
      </c>
      <c r="E67" s="2"/>
      <c r="F67" s="2"/>
      <c r="G67" s="2"/>
    </row>
    <row r="68" spans="1:7">
      <c r="A68" s="2"/>
      <c r="B68" s="2"/>
      <c r="C68" s="3" t="s">
        <v>17</v>
      </c>
      <c r="D68" s="3">
        <v>5</v>
      </c>
      <c r="E68" s="2"/>
      <c r="F68" s="2"/>
      <c r="G68" s="2"/>
    </row>
    <row r="69" spans="1:7">
      <c r="A69" s="2"/>
      <c r="B69" s="2"/>
      <c r="C69" s="3" t="s">
        <v>18</v>
      </c>
      <c r="D69" s="3">
        <v>100</v>
      </c>
      <c r="E69" s="2"/>
      <c r="F69" s="2"/>
      <c r="G69" s="2"/>
    </row>
    <row r="70" spans="1:7">
      <c r="A70" s="2">
        <v>7</v>
      </c>
      <c r="B70" s="2" t="s">
        <v>24</v>
      </c>
      <c r="C70" s="3" t="s">
        <v>8</v>
      </c>
      <c r="D70" s="3">
        <v>415</v>
      </c>
      <c r="E70" s="2">
        <f xml:space="preserve">SUM(D70:D80)</f>
        <v>605</v>
      </c>
      <c r="F70" s="2">
        <f xml:space="preserve">750</f>
        <v>750</v>
      </c>
      <c r="G70" s="2">
        <f xml:space="preserve">F70-E70</f>
        <v>145</v>
      </c>
    </row>
    <row r="71" spans="1:7">
      <c r="A71" s="2"/>
      <c r="B71" s="2"/>
      <c r="C71" s="3" t="s">
        <v>9</v>
      </c>
      <c r="D71" s="3">
        <v>5</v>
      </c>
      <c r="E71" s="2"/>
      <c r="F71" s="2"/>
      <c r="G71" s="2"/>
    </row>
    <row r="72" spans="1:7">
      <c r="A72" s="2"/>
      <c r="B72" s="2"/>
      <c r="C72" s="3" t="s">
        <v>10</v>
      </c>
      <c r="D72" s="4">
        <v>40</v>
      </c>
      <c r="E72" s="2"/>
      <c r="F72" s="2"/>
      <c r="G72" s="2"/>
    </row>
    <row r="73" spans="1:7">
      <c r="A73" s="2"/>
      <c r="B73" s="2"/>
      <c r="C73" s="3" t="s">
        <v>11</v>
      </c>
      <c r="D73" s="3">
        <v>10</v>
      </c>
      <c r="E73" s="2"/>
      <c r="F73" s="2"/>
      <c r="G73" s="2"/>
    </row>
    <row r="74" spans="1:7">
      <c r="A74" s="2"/>
      <c r="B74" s="2"/>
      <c r="C74" s="3" t="s">
        <v>12</v>
      </c>
      <c r="D74" s="3">
        <v>10</v>
      </c>
      <c r="E74" s="2"/>
      <c r="F74" s="2"/>
      <c r="G74" s="2"/>
    </row>
    <row r="75" spans="1:7">
      <c r="A75" s="2"/>
      <c r="B75" s="2"/>
      <c r="C75" s="3" t="s">
        <v>13</v>
      </c>
      <c r="D75" s="3">
        <v>5</v>
      </c>
      <c r="E75" s="2"/>
      <c r="F75" s="2"/>
      <c r="G75" s="2"/>
    </row>
    <row r="76" spans="1:7">
      <c r="A76" s="2"/>
      <c r="B76" s="2"/>
      <c r="C76" s="3" t="s">
        <v>14</v>
      </c>
      <c r="D76" s="3">
        <v>5</v>
      </c>
      <c r="E76" s="2"/>
      <c r="F76" s="2"/>
      <c r="G76" s="2"/>
    </row>
    <row r="77" spans="1:7">
      <c r="A77" s="2"/>
      <c r="B77" s="2"/>
      <c r="C77" s="3" t="s">
        <v>15</v>
      </c>
      <c r="D77" s="3">
        <v>5</v>
      </c>
      <c r="E77" s="2"/>
      <c r="F77" s="2"/>
      <c r="G77" s="2"/>
    </row>
    <row r="78" spans="1:7">
      <c r="A78" s="2"/>
      <c r="B78" s="2"/>
      <c r="C78" s="3" t="s">
        <v>16</v>
      </c>
      <c r="D78" s="3">
        <v>5</v>
      </c>
      <c r="E78" s="2"/>
      <c r="F78" s="2"/>
      <c r="G78" s="2"/>
    </row>
    <row r="79" spans="1:7">
      <c r="A79" s="2"/>
      <c r="B79" s="2"/>
      <c r="C79" s="3" t="s">
        <v>17</v>
      </c>
      <c r="D79" s="3">
        <v>5</v>
      </c>
      <c r="E79" s="2"/>
      <c r="F79" s="2"/>
      <c r="G79" s="2"/>
    </row>
    <row r="80" spans="1:7">
      <c r="A80" s="2"/>
      <c r="B80" s="2"/>
      <c r="C80" s="3" t="s">
        <v>18</v>
      </c>
      <c r="D80" s="3">
        <v>100</v>
      </c>
      <c r="E80" s="2"/>
      <c r="F80" s="2"/>
      <c r="G80" s="2"/>
    </row>
    <row r="81" spans="1:7">
      <c r="A81" s="2">
        <v>8</v>
      </c>
      <c r="B81" s="2" t="s">
        <v>25</v>
      </c>
      <c r="C81" s="3" t="s">
        <v>8</v>
      </c>
      <c r="D81" s="3">
        <v>460</v>
      </c>
      <c r="E81" s="2">
        <f xml:space="preserve">SUM(D81:D91)</f>
        <v>650</v>
      </c>
      <c r="F81" s="2">
        <f xml:space="preserve">780</f>
        <v>780</v>
      </c>
      <c r="G81" s="2">
        <f xml:space="preserve">F81-E81</f>
        <v>130</v>
      </c>
    </row>
    <row r="82" spans="1:7">
      <c r="A82" s="2"/>
      <c r="B82" s="2"/>
      <c r="C82" s="3" t="s">
        <v>9</v>
      </c>
      <c r="D82" s="3">
        <v>5</v>
      </c>
      <c r="E82" s="2"/>
      <c r="F82" s="2"/>
      <c r="G82" s="2"/>
    </row>
    <row r="83" spans="1:7">
      <c r="A83" s="2"/>
      <c r="B83" s="2"/>
      <c r="C83" s="3" t="s">
        <v>10</v>
      </c>
      <c r="D83" s="4">
        <v>40</v>
      </c>
      <c r="E83" s="2"/>
      <c r="F83" s="2"/>
      <c r="G83" s="2"/>
    </row>
    <row r="84" spans="1:7">
      <c r="A84" s="2"/>
      <c r="B84" s="2"/>
      <c r="C84" s="3" t="s">
        <v>11</v>
      </c>
      <c r="D84" s="3">
        <v>10</v>
      </c>
      <c r="E84" s="2"/>
      <c r="F84" s="2"/>
      <c r="G84" s="2"/>
    </row>
    <row r="85" spans="1:7">
      <c r="A85" s="2"/>
      <c r="B85" s="2"/>
      <c r="C85" s="3" t="s">
        <v>12</v>
      </c>
      <c r="D85" s="3">
        <v>10</v>
      </c>
      <c r="E85" s="2"/>
      <c r="F85" s="2"/>
      <c r="G85" s="2"/>
    </row>
    <row r="86" spans="1:7">
      <c r="A86" s="2"/>
      <c r="B86" s="2"/>
      <c r="C86" s="3" t="s">
        <v>13</v>
      </c>
      <c r="D86" s="3">
        <v>5</v>
      </c>
      <c r="E86" s="2"/>
      <c r="F86" s="2"/>
      <c r="G86" s="2"/>
    </row>
    <row r="87" spans="1:7">
      <c r="A87" s="2"/>
      <c r="B87" s="2"/>
      <c r="C87" s="3" t="s">
        <v>14</v>
      </c>
      <c r="D87" s="3">
        <v>5</v>
      </c>
      <c r="E87" s="2"/>
      <c r="F87" s="2"/>
      <c r="G87" s="2"/>
    </row>
    <row r="88" spans="1:7">
      <c r="A88" s="2"/>
      <c r="B88" s="2"/>
      <c r="C88" s="3" t="s">
        <v>15</v>
      </c>
      <c r="D88" s="3">
        <v>5</v>
      </c>
      <c r="E88" s="2"/>
      <c r="F88" s="2"/>
      <c r="G88" s="2"/>
    </row>
    <row r="89" spans="1:7">
      <c r="A89" s="2"/>
      <c r="B89" s="2"/>
      <c r="C89" s="3" t="s">
        <v>16</v>
      </c>
      <c r="D89" s="3">
        <v>5</v>
      </c>
      <c r="E89" s="2"/>
      <c r="F89" s="2"/>
      <c r="G89" s="2"/>
    </row>
    <row r="90" spans="1:7">
      <c r="A90" s="2"/>
      <c r="B90" s="2"/>
      <c r="C90" s="3" t="s">
        <v>17</v>
      </c>
      <c r="D90" s="3">
        <v>5</v>
      </c>
      <c r="E90" s="2"/>
      <c r="F90" s="2"/>
      <c r="G90" s="2"/>
    </row>
    <row r="91" spans="1:7">
      <c r="A91" s="2"/>
      <c r="B91" s="2"/>
      <c r="C91" s="3" t="s">
        <v>18</v>
      </c>
      <c r="D91" s="3">
        <v>100</v>
      </c>
      <c r="E91" s="2"/>
      <c r="F91" s="2"/>
      <c r="G91" s="2"/>
    </row>
  </sheetData>
  <mergeCells count="40">
    <mergeCell ref="A4:A14"/>
    <mergeCell ref="A15:A25"/>
    <mergeCell ref="A26:A36"/>
    <mergeCell ref="A37:A47"/>
    <mergeCell ref="A48:A58"/>
    <mergeCell ref="A59:A69"/>
    <mergeCell ref="A70:A80"/>
    <mergeCell ref="A81:A91"/>
    <mergeCell ref="B4:B14"/>
    <mergeCell ref="B15:B25"/>
    <mergeCell ref="B26:B36"/>
    <mergeCell ref="B37:B47"/>
    <mergeCell ref="B48:B58"/>
    <mergeCell ref="B59:B69"/>
    <mergeCell ref="B70:B80"/>
    <mergeCell ref="B81:B91"/>
    <mergeCell ref="E4:E14"/>
    <mergeCell ref="E15:E25"/>
    <mergeCell ref="E26:E36"/>
    <mergeCell ref="E37:E47"/>
    <mergeCell ref="E48:E58"/>
    <mergeCell ref="E59:E69"/>
    <mergeCell ref="E70:E80"/>
    <mergeCell ref="E81:E91"/>
    <mergeCell ref="F4:F14"/>
    <mergeCell ref="F15:F25"/>
    <mergeCell ref="F26:F36"/>
    <mergeCell ref="F37:F47"/>
    <mergeCell ref="F48:F58"/>
    <mergeCell ref="F59:F69"/>
    <mergeCell ref="F70:F80"/>
    <mergeCell ref="F81:F91"/>
    <mergeCell ref="G4:G14"/>
    <mergeCell ref="G15:G25"/>
    <mergeCell ref="G26:G36"/>
    <mergeCell ref="G37:G47"/>
    <mergeCell ref="G48:G58"/>
    <mergeCell ref="G59:G69"/>
    <mergeCell ref="G70:G80"/>
    <mergeCell ref="G81:G9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reube</dc:creator>
  <cp:lastModifiedBy>Frederick Reuben</cp:lastModifiedBy>
  <dcterms:created xsi:type="dcterms:W3CDTF">2026-10-18T09:47:48Z</dcterms:created>
  <dcterms:modified xsi:type="dcterms:W3CDTF">2026-10-18T10:36:32Z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E2B6DE431DDD4408A50368C5BCA35FC7_11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